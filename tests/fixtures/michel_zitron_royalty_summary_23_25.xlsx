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elislabs.sharepoint.com/sites/Deals/Shared Documents/Project Music/2. Materials received/Updated dataroom/Michel Zitron/Statements/"/>
    </mc:Choice>
  </mc:AlternateContent>
  <xr:revisionPtr revIDLastSave="10" documentId="13_ncr:1_{F7585B24-340A-4223-A7D5-6EC26CB0125A}" xr6:coauthVersionLast="47" xr6:coauthVersionMax="47" xr10:uidLastSave="{CB427E15-0AFC-46A3-83DF-CF14E1852D70}"/>
  <bookViews>
    <workbookView xWindow="-120" yWindow="-120" windowWidth="57840" windowHeight="15720" xr2:uid="{14C58731-8751-412B-8AD4-0F216FD30B62}"/>
  </bookViews>
  <sheets>
    <sheet name="Summering" sheetId="3" r:id="rId1"/>
    <sheet name="Blad1" sheetId="5" r:id="rId2"/>
    <sheet name="STIM" sheetId="1" r:id="rId3"/>
    <sheet name="BMG Rights" sheetId="2" r:id="rId4"/>
    <sheet name="Kobalt" sheetId="4" r:id="rId5"/>
  </sheets>
  <definedNames>
    <definedName name="_xlnm.Print_Area" localSheetId="2">STIM!$A$1:$C$196</definedName>
    <definedName name="_xlnm.Print_Area" localSheetId="0">Summering!$A$1:$D$17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B7" i="3" s="1"/>
  <c r="E11" i="3"/>
  <c r="D11" i="3"/>
  <c r="C4" i="3"/>
  <c r="E6" i="3"/>
  <c r="B6" i="3" s="1"/>
  <c r="D4" i="3"/>
  <c r="B8" i="3"/>
  <c r="B5" i="3"/>
  <c r="E8" i="3"/>
  <c r="D8" i="3"/>
  <c r="C8" i="3"/>
  <c r="E7" i="3"/>
  <c r="D7" i="3"/>
  <c r="D6" i="3"/>
  <c r="C6" i="3"/>
  <c r="E5" i="3"/>
  <c r="D5" i="3"/>
  <c r="C5" i="3"/>
  <c r="E4" i="3"/>
  <c r="C31" i="4"/>
  <c r="C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4" i="4"/>
  <c r="B19" i="4" s="1"/>
  <c r="B24" i="4" s="1"/>
  <c r="B29" i="4" s="1"/>
  <c r="B13" i="4"/>
  <c r="B18" i="4" s="1"/>
  <c r="B23" i="4" s="1"/>
  <c r="B28" i="4" s="1"/>
  <c r="B12" i="4"/>
  <c r="B17" i="4" s="1"/>
  <c r="B22" i="4" s="1"/>
  <c r="B27" i="4" s="1"/>
  <c r="B11" i="4"/>
  <c r="B16" i="4" s="1"/>
  <c r="B21" i="4" s="1"/>
  <c r="B26" i="4" s="1"/>
  <c r="B26" i="2"/>
  <c r="B27" i="2"/>
  <c r="B28" i="2"/>
  <c r="B29" i="2"/>
  <c r="B31" i="2"/>
  <c r="B32" i="2"/>
  <c r="B33" i="2"/>
  <c r="B34" i="2"/>
  <c r="C10" i="3" l="1"/>
  <c r="C11" i="3" s="1"/>
  <c r="B4" i="3"/>
  <c r="B10" i="3" s="1"/>
  <c r="B11" i="3" s="1"/>
  <c r="B12" i="3" s="1"/>
  <c r="B14" i="3" s="1"/>
  <c r="E10" i="3"/>
  <c r="D10" i="3"/>
  <c r="B21" i="2"/>
  <c r="B22" i="2"/>
  <c r="B23" i="2"/>
  <c r="B24" i="2"/>
  <c r="B16" i="2"/>
  <c r="B17" i="2"/>
  <c r="B18" i="2"/>
  <c r="B19" i="2"/>
  <c r="B11" i="2"/>
  <c r="B12" i="2"/>
  <c r="B13" i="2"/>
  <c r="B14" i="2"/>
  <c r="B79" i="1"/>
  <c r="B84" i="1" s="1"/>
  <c r="B89" i="1" s="1"/>
  <c r="B94" i="1" s="1"/>
  <c r="B99" i="1" s="1"/>
  <c r="B104" i="1" s="1"/>
  <c r="B109" i="1" s="1"/>
  <c r="B114" i="1" s="1"/>
  <c r="B119" i="1" s="1"/>
  <c r="B124" i="1" s="1"/>
  <c r="B129" i="1" s="1"/>
  <c r="B134" i="1" s="1"/>
  <c r="B139" i="1" s="1"/>
  <c r="B144" i="1" s="1"/>
  <c r="B149" i="1" s="1"/>
  <c r="B154" i="1" s="1"/>
  <c r="B10" i="1"/>
  <c r="B14" i="1" s="1"/>
  <c r="B18" i="1" s="1"/>
  <c r="B11" i="1"/>
  <c r="B15" i="1" s="1"/>
  <c r="B19" i="1" s="1"/>
  <c r="B12" i="1"/>
  <c r="B16" i="1" s="1"/>
  <c r="B20" i="1" s="1"/>
  <c r="B13" i="1"/>
  <c r="B17" i="1" s="1"/>
  <c r="B21" i="1" s="1"/>
  <c r="B29" i="1" l="1"/>
  <c r="B41" i="1" s="1"/>
  <c r="B45" i="1" s="1"/>
  <c r="B49" i="1" s="1"/>
  <c r="B53" i="1" s="1"/>
  <c r="B57" i="1" s="1"/>
  <c r="B61" i="1" s="1"/>
  <c r="B65" i="1" s="1"/>
  <c r="B69" i="1" s="1"/>
  <c r="B73" i="1" s="1"/>
  <c r="B78" i="1" s="1"/>
  <c r="B83" i="1" s="1"/>
  <c r="B88" i="1" s="1"/>
  <c r="B93" i="1" s="1"/>
  <c r="B98" i="1" s="1"/>
  <c r="B103" i="1" s="1"/>
  <c r="B108" i="1" s="1"/>
  <c r="B113" i="1" s="1"/>
  <c r="B118" i="1" s="1"/>
  <c r="B123" i="1" s="1"/>
  <c r="B128" i="1" s="1"/>
  <c r="B133" i="1" s="1"/>
  <c r="B138" i="1" s="1"/>
  <c r="B143" i="1" s="1"/>
  <c r="B148" i="1" s="1"/>
  <c r="B153" i="1" s="1"/>
  <c r="B25" i="1"/>
  <c r="B28" i="1"/>
  <c r="B32" i="1" s="1"/>
  <c r="B36" i="1" s="1"/>
  <c r="B24" i="1"/>
  <c r="B27" i="1"/>
  <c r="B39" i="1" s="1"/>
  <c r="B23" i="1"/>
  <c r="B26" i="1"/>
  <c r="B30" i="1" s="1"/>
  <c r="B34" i="1" s="1"/>
  <c r="B22" i="1"/>
  <c r="B33" i="1"/>
  <c r="B37" i="1" s="1"/>
  <c r="B31" i="1"/>
  <c r="B35" i="1" s="1"/>
  <c r="B43" i="1"/>
  <c r="B47" i="1" s="1"/>
  <c r="B51" i="1" s="1"/>
  <c r="B55" i="1" s="1"/>
  <c r="B59" i="1" s="1"/>
  <c r="B63" i="1" s="1"/>
  <c r="B67" i="1" s="1"/>
  <c r="B71" i="1" s="1"/>
  <c r="B76" i="1" s="1"/>
  <c r="B81" i="1" s="1"/>
  <c r="B86" i="1" s="1"/>
  <c r="B91" i="1" s="1"/>
  <c r="B96" i="1" s="1"/>
  <c r="B101" i="1" s="1"/>
  <c r="B106" i="1" s="1"/>
  <c r="B111" i="1" s="1"/>
  <c r="B116" i="1" s="1"/>
  <c r="B121" i="1" s="1"/>
  <c r="B126" i="1" s="1"/>
  <c r="B131" i="1" s="1"/>
  <c r="B136" i="1" s="1"/>
  <c r="B141" i="1" s="1"/>
  <c r="B146" i="1" s="1"/>
  <c r="B151" i="1" s="1"/>
  <c r="B40" i="1"/>
  <c r="B44" i="1" s="1"/>
  <c r="B48" i="1" s="1"/>
  <c r="B52" i="1" s="1"/>
  <c r="B56" i="1" s="1"/>
  <c r="B60" i="1" s="1"/>
  <c r="B64" i="1" s="1"/>
  <c r="B68" i="1" s="1"/>
  <c r="B72" i="1" s="1"/>
  <c r="B77" i="1" s="1"/>
  <c r="B82" i="1" s="1"/>
  <c r="B87" i="1" s="1"/>
  <c r="B92" i="1" s="1"/>
  <c r="B97" i="1" s="1"/>
  <c r="B102" i="1" s="1"/>
  <c r="B107" i="1" s="1"/>
  <c r="B112" i="1" s="1"/>
  <c r="B117" i="1" s="1"/>
  <c r="B122" i="1" s="1"/>
  <c r="B127" i="1" s="1"/>
  <c r="B132" i="1" s="1"/>
  <c r="B137" i="1" s="1"/>
  <c r="B142" i="1" s="1"/>
  <c r="B147" i="1" s="1"/>
  <c r="B152" i="1" s="1"/>
  <c r="B38" i="1"/>
  <c r="B42" i="1" s="1"/>
  <c r="B46" i="1" s="1"/>
  <c r="B50" i="1" s="1"/>
  <c r="B54" i="1" s="1"/>
  <c r="B58" i="1" s="1"/>
  <c r="B62" i="1" s="1"/>
  <c r="B66" i="1" s="1"/>
  <c r="B70" i="1" s="1"/>
  <c r="B75" i="1" s="1"/>
  <c r="B80" i="1" s="1"/>
  <c r="B85" i="1" s="1"/>
  <c r="B90" i="1" s="1"/>
  <c r="B95" i="1" s="1"/>
  <c r="B100" i="1" s="1"/>
  <c r="B105" i="1" s="1"/>
  <c r="B110" i="1" s="1"/>
  <c r="B115" i="1" s="1"/>
  <c r="B120" i="1" s="1"/>
  <c r="B125" i="1" s="1"/>
  <c r="B130" i="1" l="1"/>
  <c r="B135" i="1" s="1"/>
  <c r="B140" i="1" s="1"/>
  <c r="B145" i="1" s="1"/>
  <c r="B150" i="1" s="1"/>
</calcChain>
</file>

<file path=xl/sharedStrings.xml><?xml version="1.0" encoding="utf-8"?>
<sst xmlns="http://schemas.openxmlformats.org/spreadsheetml/2006/main" count="64" uniqueCount="47">
  <si>
    <t>Michel Zitron - Upphovsmanna andel</t>
  </si>
  <si>
    <t xml:space="preserve">Don´t You Worry Child </t>
  </si>
  <si>
    <t>Reload (Free Love)</t>
  </si>
  <si>
    <t>Fade into Darkness</t>
  </si>
  <si>
    <t>Save the World</t>
  </si>
  <si>
    <t>Reload (instrumental)</t>
  </si>
  <si>
    <t>II/2019</t>
  </si>
  <si>
    <t>Don´t You Worry Child</t>
  </si>
  <si>
    <t>Reload /Free Love)</t>
  </si>
  <si>
    <t>II/2020</t>
  </si>
  <si>
    <t>BMG Rights (SEK)</t>
  </si>
  <si>
    <t>STIM: (SEK)</t>
  </si>
  <si>
    <t xml:space="preserve">Michel Zitron - Upphovsmanna andel </t>
  </si>
  <si>
    <t>Total andel</t>
  </si>
  <si>
    <t>Stim</t>
  </si>
  <si>
    <t>BMG</t>
  </si>
  <si>
    <t>Total</t>
  </si>
  <si>
    <t>Snitt 3 år</t>
  </si>
  <si>
    <t>Totalt 3 år (Multipel)</t>
  </si>
  <si>
    <t>(SEK)</t>
  </si>
  <si>
    <t>Multiple</t>
  </si>
  <si>
    <t>2019: 23 140.66</t>
  </si>
  <si>
    <t>2020: 18 351.03</t>
  </si>
  <si>
    <t>2021: 23 422.48</t>
  </si>
  <si>
    <t xml:space="preserve"> </t>
  </si>
  <si>
    <t>TOTAL</t>
  </si>
  <si>
    <t>Kobalt</t>
  </si>
  <si>
    <t>12/2022</t>
  </si>
  <si>
    <t>06/2023</t>
  </si>
  <si>
    <t>12/2023</t>
  </si>
  <si>
    <t>06/2024</t>
  </si>
  <si>
    <t>12/2024</t>
  </si>
  <si>
    <t>06/2025</t>
  </si>
  <si>
    <t>Kobalt (SEK)</t>
  </si>
  <si>
    <t>79% (MZ del av katalogens värde)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</si>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</sst>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70" formatCode="_(#,##0_)_%;\(#,##0\)_%;_(&quot;–&quot;_)_%;_(@_)_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0" fontId="0" fillId="0" borderId="0" xfId="0" applyAlignment="1">
      <alignment vertical="center"/>
    </xf>
    <xf numFmtId="1" fontId="0" fillId="0" borderId="0" xfId="0" applyNumberFormat="1"/>
    <xf numFmtId="3" fontId="4" fillId="0" borderId="0" xfId="0" applyNumberFormat="1" applyFont="1"/>
    <xf numFmtId="165" fontId="4" fillId="0" borderId="0" xfId="1" applyNumberFormat="1" applyFont="1"/>
    <xf numFmtId="17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4AD2-489A-4828-9353-BB18E3113AF4}">
  <dimension ref="A1:E14"/>
  <sheetViews>
    <sheetView tabSelected="1" zoomScale="175" zoomScaleNormal="175" workbookViewId="0">
      <selection activeCell="H4" sqref="H4"/>
    </sheetView>
  </sheetViews>
  <sheetFormatPr defaultRowHeight="15" x14ac:dyDescent="0.25"/>
  <cols>
    <col min="1" max="1" width="51.5703125" customWidth="1"/>
    <col min="2" max="5" width="12.7109375" customWidth="1"/>
  </cols>
  <sheetData>
    <row r="1" spans="1:5" ht="21" x14ac:dyDescent="0.35">
      <c r="A1" s="4" t="s">
        <v>0</v>
      </c>
      <c r="B1" t="s">
        <v>19</v>
      </c>
    </row>
    <row r="3" spans="1:5" x14ac:dyDescent="0.25">
      <c r="B3" s="6" t="s">
        <v>13</v>
      </c>
      <c r="C3" s="6" t="s">
        <v>14</v>
      </c>
      <c r="D3" s="6" t="s">
        <v>15</v>
      </c>
      <c r="E3" s="6" t="s">
        <v>26</v>
      </c>
    </row>
    <row r="4" spans="1:5" x14ac:dyDescent="0.25">
      <c r="A4" t="s">
        <v>1</v>
      </c>
      <c r="B4" s="2">
        <f>SUM(C4:E4)</f>
        <v>4743409</v>
      </c>
      <c r="C4" s="2">
        <f>SUMIF(STIM!$B$6:$B$179,"Don´t You Worry Child*",STIM!$C$6:$C$179)</f>
        <v>2195329</v>
      </c>
      <c r="D4" s="2">
        <f>SUMIF('BMG Rights'!$B$6:$B$34,"Don´t You Worry Child*",'BMG Rights'!$C$6:$C$34)</f>
        <v>2548080</v>
      </c>
      <c r="E4" s="2">
        <f>0</f>
        <v>0</v>
      </c>
    </row>
    <row r="5" spans="1:5" x14ac:dyDescent="0.25">
      <c r="A5" t="s">
        <v>4</v>
      </c>
      <c r="B5" s="2">
        <f>SUM(C5:E5)</f>
        <v>631314</v>
      </c>
      <c r="C5" s="2">
        <f>SUMIF(STIM!$B$6:$B$179,"Save the World",STIM!$C$6:$C$179)</f>
        <v>217074</v>
      </c>
      <c r="D5" s="2">
        <f>SUMIF('BMG Rights'!$B$6:$B$34,"Save the World",'BMG Rights'!$C$6:$C$34)</f>
        <v>414240</v>
      </c>
      <c r="E5" s="2">
        <f>0</f>
        <v>0</v>
      </c>
    </row>
    <row r="6" spans="1:5" x14ac:dyDescent="0.25">
      <c r="A6" t="s">
        <v>2</v>
      </c>
      <c r="B6" s="2">
        <f>SUM(C6:E6)</f>
        <v>157530</v>
      </c>
      <c r="C6" s="2">
        <f>SUMIF(STIM!$B$6:$B$179,"Reload (Free Love)",STIM!$C$6:$C$179)</f>
        <v>71889</v>
      </c>
      <c r="D6" s="2">
        <f>SUMIF('BMG Rights'!$B$6:$B$34,"*Free Love*",'BMG Rights'!$C$6:$C$34)</f>
        <v>0</v>
      </c>
      <c r="E6" s="2">
        <f>SUMIF(Kobalt!$B$6:$B$30,"*Free Love*",Kobalt!$C$6:$C$30)</f>
        <v>85641</v>
      </c>
    </row>
    <row r="7" spans="1:5" x14ac:dyDescent="0.25">
      <c r="A7" t="s">
        <v>3</v>
      </c>
      <c r="B7" s="2">
        <f>SUM(C7:E7)</f>
        <v>35392</v>
      </c>
      <c r="C7" s="2">
        <f>SUMIF(STIM!$B$6:$B$179,"Fade into Darkness",STIM!$C$6:$C$179)</f>
        <v>20612</v>
      </c>
      <c r="D7" s="2">
        <f>SUMIF('BMG Rights'!$B$6:$B$34,"Fade into Darkness",'BMG Rights'!$C$6:$C$34)</f>
        <v>14780</v>
      </c>
      <c r="E7" s="2">
        <f>0</f>
        <v>0</v>
      </c>
    </row>
    <row r="8" spans="1:5" x14ac:dyDescent="0.25">
      <c r="A8" t="s">
        <v>5</v>
      </c>
      <c r="B8" s="2">
        <f>SUM(C8:E8)</f>
        <v>0</v>
      </c>
      <c r="C8" s="2">
        <f>SUMIF(STIM!$B$6:$B$179,"Reload (instrumental)",STIM!$C$6:$C$179)</f>
        <v>0</v>
      </c>
      <c r="D8" s="2">
        <f>0</f>
        <v>0</v>
      </c>
      <c r="E8" s="2">
        <f>0</f>
        <v>0</v>
      </c>
    </row>
    <row r="9" spans="1:5" x14ac:dyDescent="0.25">
      <c r="B9" s="2"/>
      <c r="C9" s="2"/>
      <c r="D9" s="2"/>
      <c r="E9" s="2"/>
    </row>
    <row r="10" spans="1:5" x14ac:dyDescent="0.25">
      <c r="A10" t="s">
        <v>16</v>
      </c>
      <c r="B10" s="5">
        <f>SUM(B4:B8)</f>
        <v>5567645</v>
      </c>
      <c r="C10" s="5">
        <f>SUM(C4:C8)</f>
        <v>2504904</v>
      </c>
      <c r="D10" s="5">
        <f>SUM(D4:D8)</f>
        <v>2977100</v>
      </c>
      <c r="E10" s="5">
        <f>SUM(E4:E8)</f>
        <v>85641</v>
      </c>
    </row>
    <row r="11" spans="1:5" x14ac:dyDescent="0.25">
      <c r="A11" t="s">
        <v>34</v>
      </c>
      <c r="B11" s="9">
        <f>B10*0.79</f>
        <v>4398439.55</v>
      </c>
      <c r="C11" s="9">
        <f>C10*0.79</f>
        <v>1978874.1600000001</v>
      </c>
      <c r="D11" s="9">
        <f>D10*0.79</f>
        <v>2351909</v>
      </c>
      <c r="E11" s="9">
        <f>E10*0.79</f>
        <v>67656.39</v>
      </c>
    </row>
    <row r="12" spans="1:5" x14ac:dyDescent="0.25">
      <c r="A12" t="s">
        <v>17</v>
      </c>
      <c r="B12" s="10">
        <f>B11/3</f>
        <v>1466146.5166666666</v>
      </c>
      <c r="D12" s="11"/>
    </row>
    <row r="13" spans="1:5" x14ac:dyDescent="0.25">
      <c r="A13" t="s">
        <v>20</v>
      </c>
      <c r="B13">
        <v>12</v>
      </c>
    </row>
    <row r="14" spans="1:5" x14ac:dyDescent="0.25">
      <c r="A14" t="s">
        <v>18</v>
      </c>
      <c r="B14" s="3">
        <f>B12*B13</f>
        <v>17593758.199999999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7F2E-2C63-4630-9373-62084011AEEC}">
  <dimension ref="A1"/>
  <sheetViews>
    <sheetView workbookViewId="0">
      <selection sqref="A1:C32"/>
    </sheetView>
  </sheetViews>
  <sheetFormatPr defaultRowHeight="15" x14ac:dyDescent="0.25"/>
  <cols>
    <col min="3" max="3" width="8.71093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DC04-59C8-4C06-A9FD-3FEFD86D33B5}">
  <dimension ref="A1:C196"/>
  <sheetViews>
    <sheetView topLeftCell="A44" workbookViewId="0">
      <selection activeCell="C54" sqref="C54"/>
    </sheetView>
  </sheetViews>
  <sheetFormatPr defaultRowHeight="15" x14ac:dyDescent="0.25"/>
  <cols>
    <col min="1" max="1" width="10.42578125" bestFit="1" customWidth="1"/>
    <col min="2" max="2" width="34.7109375" customWidth="1"/>
    <col min="3" max="3" width="18.28515625" customWidth="1"/>
  </cols>
  <sheetData>
    <row r="1" spans="1:3" x14ac:dyDescent="0.25">
      <c r="A1" t="s">
        <v>0</v>
      </c>
    </row>
    <row r="4" spans="1:3" x14ac:dyDescent="0.25">
      <c r="A4" t="s">
        <v>11</v>
      </c>
    </row>
    <row r="6" spans="1:3" x14ac:dyDescent="0.25">
      <c r="A6" s="1">
        <v>44614</v>
      </c>
      <c r="B6" t="s">
        <v>1</v>
      </c>
      <c r="C6" s="2">
        <v>0</v>
      </c>
    </row>
    <row r="7" spans="1:3" x14ac:dyDescent="0.25">
      <c r="A7" s="1"/>
      <c r="B7" t="s">
        <v>4</v>
      </c>
      <c r="C7" s="2">
        <v>0</v>
      </c>
    </row>
    <row r="8" spans="1:3" x14ac:dyDescent="0.25">
      <c r="B8" t="s">
        <v>2</v>
      </c>
      <c r="C8">
        <v>0</v>
      </c>
    </row>
    <row r="9" spans="1:3" x14ac:dyDescent="0.25">
      <c r="B9" t="s">
        <v>3</v>
      </c>
      <c r="C9" s="2">
        <v>0</v>
      </c>
    </row>
    <row r="10" spans="1:3" x14ac:dyDescent="0.25">
      <c r="A10" s="1">
        <v>44614</v>
      </c>
      <c r="B10" t="str">
        <f t="shared" ref="B10:B25" si="0">B6</f>
        <v xml:space="preserve">Don´t You Worry Child </v>
      </c>
      <c r="C10" s="2">
        <v>0</v>
      </c>
    </row>
    <row r="11" spans="1:3" x14ac:dyDescent="0.25">
      <c r="B11" t="str">
        <f t="shared" si="0"/>
        <v>Save the World</v>
      </c>
      <c r="C11" s="2">
        <v>0</v>
      </c>
    </row>
    <row r="12" spans="1:3" x14ac:dyDescent="0.25">
      <c r="B12" t="str">
        <f t="shared" si="0"/>
        <v>Reload (Free Love)</v>
      </c>
      <c r="C12" s="2">
        <v>0</v>
      </c>
    </row>
    <row r="13" spans="1:3" x14ac:dyDescent="0.25">
      <c r="B13" t="str">
        <f t="shared" si="0"/>
        <v>Fade into Darkness</v>
      </c>
      <c r="C13" s="2">
        <v>0</v>
      </c>
    </row>
    <row r="14" spans="1:3" x14ac:dyDescent="0.25">
      <c r="A14" s="1">
        <v>44635</v>
      </c>
      <c r="B14" t="str">
        <f t="shared" si="0"/>
        <v xml:space="preserve">Don´t You Worry Child </v>
      </c>
      <c r="C14" s="2">
        <v>0</v>
      </c>
    </row>
    <row r="15" spans="1:3" x14ac:dyDescent="0.25">
      <c r="B15" t="str">
        <f t="shared" si="0"/>
        <v>Save the World</v>
      </c>
      <c r="C15" s="2">
        <v>0</v>
      </c>
    </row>
    <row r="16" spans="1:3" x14ac:dyDescent="0.25">
      <c r="B16" t="str">
        <f t="shared" si="0"/>
        <v>Reload (Free Love)</v>
      </c>
      <c r="C16" s="2">
        <v>0</v>
      </c>
    </row>
    <row r="17" spans="1:3" x14ac:dyDescent="0.25">
      <c r="B17" t="str">
        <f t="shared" si="0"/>
        <v>Fade into Darkness</v>
      </c>
      <c r="C17" s="2">
        <v>0</v>
      </c>
    </row>
    <row r="18" spans="1:3" x14ac:dyDescent="0.25">
      <c r="A18" s="1">
        <v>44698</v>
      </c>
      <c r="B18" t="str">
        <f t="shared" si="0"/>
        <v xml:space="preserve">Don´t You Worry Child </v>
      </c>
      <c r="C18" s="2">
        <v>0</v>
      </c>
    </row>
    <row r="19" spans="1:3" x14ac:dyDescent="0.25">
      <c r="B19" t="str">
        <f t="shared" si="0"/>
        <v>Save the World</v>
      </c>
      <c r="C19" s="2">
        <v>0</v>
      </c>
    </row>
    <row r="20" spans="1:3" x14ac:dyDescent="0.25">
      <c r="B20" t="str">
        <f t="shared" si="0"/>
        <v>Reload (Free Love)</v>
      </c>
      <c r="C20" s="2">
        <v>0</v>
      </c>
    </row>
    <row r="21" spans="1:3" x14ac:dyDescent="0.25">
      <c r="B21" t="str">
        <f t="shared" si="0"/>
        <v>Fade into Darkness</v>
      </c>
      <c r="C21" s="2">
        <v>0</v>
      </c>
    </row>
    <row r="22" spans="1:3" x14ac:dyDescent="0.25">
      <c r="A22" s="1">
        <v>44698</v>
      </c>
      <c r="B22" t="str">
        <f t="shared" si="0"/>
        <v xml:space="preserve">Don´t You Worry Child </v>
      </c>
      <c r="C22" s="2">
        <v>0</v>
      </c>
    </row>
    <row r="23" spans="1:3" x14ac:dyDescent="0.25">
      <c r="B23" t="str">
        <f t="shared" si="0"/>
        <v>Save the World</v>
      </c>
      <c r="C23" s="2">
        <v>0</v>
      </c>
    </row>
    <row r="24" spans="1:3" x14ac:dyDescent="0.25">
      <c r="B24" t="str">
        <f t="shared" si="0"/>
        <v>Reload (Free Love)</v>
      </c>
      <c r="C24" s="2">
        <v>0</v>
      </c>
    </row>
    <row r="25" spans="1:3" x14ac:dyDescent="0.25">
      <c r="B25" t="str">
        <f t="shared" si="0"/>
        <v>Fade into Darkness</v>
      </c>
      <c r="C25" s="2">
        <v>0</v>
      </c>
    </row>
    <row r="26" spans="1:3" x14ac:dyDescent="0.25">
      <c r="A26" s="1">
        <v>44728</v>
      </c>
      <c r="B26" t="str">
        <f>B18</f>
        <v xml:space="preserve">Don´t You Worry Child </v>
      </c>
      <c r="C26" s="2">
        <v>0</v>
      </c>
    </row>
    <row r="27" spans="1:3" x14ac:dyDescent="0.25">
      <c r="B27" t="str">
        <f>B19</f>
        <v>Save the World</v>
      </c>
      <c r="C27" s="2">
        <v>0</v>
      </c>
    </row>
    <row r="28" spans="1:3" x14ac:dyDescent="0.25">
      <c r="B28" t="str">
        <f>B20</f>
        <v>Reload (Free Love)</v>
      </c>
      <c r="C28" s="2">
        <v>0</v>
      </c>
    </row>
    <row r="29" spans="1:3" x14ac:dyDescent="0.25">
      <c r="B29" t="str">
        <f>B21</f>
        <v>Fade into Darkness</v>
      </c>
      <c r="C29" s="2">
        <v>0</v>
      </c>
    </row>
    <row r="30" spans="1:3" x14ac:dyDescent="0.25">
      <c r="A30" s="1">
        <v>44796</v>
      </c>
      <c r="B30" t="str">
        <f t="shared" ref="B30:B37" si="1">B26</f>
        <v xml:space="preserve">Don´t You Worry Child </v>
      </c>
      <c r="C30" s="2">
        <v>0</v>
      </c>
    </row>
    <row r="31" spans="1:3" x14ac:dyDescent="0.25">
      <c r="B31" t="str">
        <f t="shared" si="1"/>
        <v>Save the World</v>
      </c>
      <c r="C31" s="2">
        <v>0</v>
      </c>
    </row>
    <row r="32" spans="1:3" x14ac:dyDescent="0.25">
      <c r="B32" t="str">
        <f t="shared" si="1"/>
        <v>Reload (Free Love)</v>
      </c>
      <c r="C32" s="2">
        <v>0</v>
      </c>
    </row>
    <row r="33" spans="1:3" x14ac:dyDescent="0.25">
      <c r="B33" t="str">
        <f t="shared" si="1"/>
        <v>Fade into Darkness</v>
      </c>
      <c r="C33" s="2">
        <v>0</v>
      </c>
    </row>
    <row r="34" spans="1:3" x14ac:dyDescent="0.25">
      <c r="A34" s="1">
        <v>44796</v>
      </c>
      <c r="B34" t="str">
        <f t="shared" si="1"/>
        <v xml:space="preserve">Don´t You Worry Child </v>
      </c>
      <c r="C34" s="2">
        <v>0</v>
      </c>
    </row>
    <row r="35" spans="1:3" x14ac:dyDescent="0.25">
      <c r="B35" t="str">
        <f t="shared" si="1"/>
        <v>Save the World</v>
      </c>
      <c r="C35" s="2">
        <v>0</v>
      </c>
    </row>
    <row r="36" spans="1:3" x14ac:dyDescent="0.25">
      <c r="B36" t="str">
        <f t="shared" si="1"/>
        <v>Reload (Free Love)</v>
      </c>
      <c r="C36" s="2">
        <v>0</v>
      </c>
    </row>
    <row r="37" spans="1:3" x14ac:dyDescent="0.25">
      <c r="B37" t="str">
        <f t="shared" si="1"/>
        <v>Fade into Darkness</v>
      </c>
      <c r="C37" s="2">
        <v>0</v>
      </c>
    </row>
    <row r="38" spans="1:3" x14ac:dyDescent="0.25">
      <c r="A38" s="1">
        <v>44824</v>
      </c>
      <c r="B38" t="str">
        <f>B26</f>
        <v xml:space="preserve">Don´t You Worry Child </v>
      </c>
      <c r="C38" s="2">
        <v>0</v>
      </c>
    </row>
    <row r="39" spans="1:3" x14ac:dyDescent="0.25">
      <c r="B39" t="str">
        <f>B27</f>
        <v>Save the World</v>
      </c>
      <c r="C39" s="2">
        <v>0</v>
      </c>
    </row>
    <row r="40" spans="1:3" x14ac:dyDescent="0.25">
      <c r="B40" t="str">
        <f>B28</f>
        <v>Reload (Free Love)</v>
      </c>
      <c r="C40" s="2">
        <v>0</v>
      </c>
    </row>
    <row r="41" spans="1:3" x14ac:dyDescent="0.25">
      <c r="B41" t="str">
        <f>B29</f>
        <v>Fade into Darkness</v>
      </c>
      <c r="C41" s="2">
        <v>0</v>
      </c>
    </row>
    <row r="42" spans="1:3" x14ac:dyDescent="0.25">
      <c r="A42" s="1">
        <v>44852</v>
      </c>
      <c r="B42" t="str">
        <f t="shared" ref="B42:B73" si="2">B38</f>
        <v xml:space="preserve">Don´t You Worry Child </v>
      </c>
      <c r="C42" s="2">
        <v>0</v>
      </c>
    </row>
    <row r="43" spans="1:3" x14ac:dyDescent="0.25">
      <c r="B43" t="str">
        <f t="shared" si="2"/>
        <v>Save the World</v>
      </c>
      <c r="C43" s="2">
        <v>0</v>
      </c>
    </row>
    <row r="44" spans="1:3" x14ac:dyDescent="0.25">
      <c r="B44" t="str">
        <f t="shared" si="2"/>
        <v>Reload (Free Love)</v>
      </c>
      <c r="C44" s="2">
        <v>0</v>
      </c>
    </row>
    <row r="45" spans="1:3" x14ac:dyDescent="0.25">
      <c r="B45" t="str">
        <f t="shared" si="2"/>
        <v>Fade into Darkness</v>
      </c>
      <c r="C45" s="2">
        <v>0</v>
      </c>
    </row>
    <row r="46" spans="1:3" x14ac:dyDescent="0.25">
      <c r="A46" s="1">
        <v>44880</v>
      </c>
      <c r="B46" t="str">
        <f t="shared" si="2"/>
        <v xml:space="preserve">Don´t You Worry Child </v>
      </c>
      <c r="C46" s="2">
        <v>0</v>
      </c>
    </row>
    <row r="47" spans="1:3" x14ac:dyDescent="0.25">
      <c r="B47" t="str">
        <f t="shared" si="2"/>
        <v>Save the World</v>
      </c>
      <c r="C47" s="2">
        <v>0</v>
      </c>
    </row>
    <row r="48" spans="1:3" x14ac:dyDescent="0.25">
      <c r="B48" t="str">
        <f t="shared" si="2"/>
        <v>Reload (Free Love)</v>
      </c>
      <c r="C48" s="2">
        <v>0</v>
      </c>
    </row>
    <row r="49" spans="1:3" x14ac:dyDescent="0.25">
      <c r="B49" t="str">
        <f t="shared" si="2"/>
        <v>Fade into Darkness</v>
      </c>
      <c r="C49" s="2">
        <v>0</v>
      </c>
    </row>
    <row r="50" spans="1:3" x14ac:dyDescent="0.25">
      <c r="A50" s="1">
        <v>44911</v>
      </c>
      <c r="B50" t="str">
        <f t="shared" si="2"/>
        <v xml:space="preserve">Don´t You Worry Child </v>
      </c>
      <c r="C50" s="2">
        <v>0</v>
      </c>
    </row>
    <row r="51" spans="1:3" x14ac:dyDescent="0.25">
      <c r="B51" t="str">
        <f t="shared" si="2"/>
        <v>Save the World</v>
      </c>
      <c r="C51" s="2">
        <v>0</v>
      </c>
    </row>
    <row r="52" spans="1:3" x14ac:dyDescent="0.25">
      <c r="B52" t="str">
        <f t="shared" si="2"/>
        <v>Reload (Free Love)</v>
      </c>
      <c r="C52" s="2">
        <v>0</v>
      </c>
    </row>
    <row r="53" spans="1:3" x14ac:dyDescent="0.25">
      <c r="B53" t="str">
        <f t="shared" si="2"/>
        <v>Fade into Darkness</v>
      </c>
      <c r="C53" s="2">
        <v>0</v>
      </c>
    </row>
    <row r="54" spans="1:3" x14ac:dyDescent="0.25">
      <c r="A54" s="1">
        <v>44973</v>
      </c>
      <c r="B54" t="str">
        <f t="shared" si="2"/>
        <v xml:space="preserve">Don´t You Worry Child </v>
      </c>
      <c r="C54" s="2">
        <v>26601</v>
      </c>
    </row>
    <row r="55" spans="1:3" x14ac:dyDescent="0.25">
      <c r="B55" t="str">
        <f t="shared" si="2"/>
        <v>Save the World</v>
      </c>
      <c r="C55" s="2">
        <v>4299</v>
      </c>
    </row>
    <row r="56" spans="1:3" x14ac:dyDescent="0.25">
      <c r="B56" t="str">
        <f t="shared" si="2"/>
        <v>Reload (Free Love)</v>
      </c>
      <c r="C56" s="2">
        <v>1137</v>
      </c>
    </row>
    <row r="57" spans="1:3" x14ac:dyDescent="0.25">
      <c r="B57" t="str">
        <f t="shared" si="2"/>
        <v>Fade into Darkness</v>
      </c>
      <c r="C57" s="2">
        <v>206</v>
      </c>
    </row>
    <row r="58" spans="1:3" x14ac:dyDescent="0.25">
      <c r="A58" s="1">
        <v>45001</v>
      </c>
      <c r="B58" t="str">
        <f t="shared" si="2"/>
        <v xml:space="preserve">Don´t You Worry Child </v>
      </c>
      <c r="C58" s="2">
        <v>34142</v>
      </c>
    </row>
    <row r="59" spans="1:3" x14ac:dyDescent="0.25">
      <c r="B59" t="str">
        <f t="shared" si="2"/>
        <v>Save the World</v>
      </c>
      <c r="C59" s="2">
        <v>3909</v>
      </c>
    </row>
    <row r="60" spans="1:3" x14ac:dyDescent="0.25">
      <c r="B60" t="str">
        <f t="shared" si="2"/>
        <v>Reload (Free Love)</v>
      </c>
      <c r="C60" s="2">
        <v>2027</v>
      </c>
    </row>
    <row r="61" spans="1:3" x14ac:dyDescent="0.25">
      <c r="B61" t="str">
        <f t="shared" si="2"/>
        <v>Fade into Darkness</v>
      </c>
      <c r="C61" s="2">
        <v>515</v>
      </c>
    </row>
    <row r="62" spans="1:3" x14ac:dyDescent="0.25">
      <c r="A62" s="1">
        <v>45062</v>
      </c>
      <c r="B62" t="str">
        <f t="shared" si="2"/>
        <v xml:space="preserve">Don´t You Worry Child </v>
      </c>
      <c r="C62" s="2">
        <v>7161</v>
      </c>
    </row>
    <row r="63" spans="1:3" x14ac:dyDescent="0.25">
      <c r="B63" t="str">
        <f t="shared" si="2"/>
        <v>Save the World</v>
      </c>
      <c r="C63" s="2">
        <v>1580</v>
      </c>
    </row>
    <row r="64" spans="1:3" x14ac:dyDescent="0.25">
      <c r="B64" t="str">
        <f t="shared" si="2"/>
        <v>Reload (Free Love)</v>
      </c>
      <c r="C64" s="2">
        <v>145</v>
      </c>
    </row>
    <row r="65" spans="1:3" x14ac:dyDescent="0.25">
      <c r="B65" t="str">
        <f t="shared" si="2"/>
        <v>Fade into Darkness</v>
      </c>
      <c r="C65" s="2">
        <v>145</v>
      </c>
    </row>
    <row r="66" spans="1:3" x14ac:dyDescent="0.25">
      <c r="A66" s="1">
        <v>45093</v>
      </c>
      <c r="B66" t="str">
        <f t="shared" si="2"/>
        <v xml:space="preserve">Don´t You Worry Child </v>
      </c>
      <c r="C66" s="2">
        <v>52776</v>
      </c>
    </row>
    <row r="67" spans="1:3" x14ac:dyDescent="0.25">
      <c r="B67" t="str">
        <f t="shared" si="2"/>
        <v>Save the World</v>
      </c>
      <c r="C67" s="2">
        <v>10287</v>
      </c>
    </row>
    <row r="68" spans="1:3" x14ac:dyDescent="0.25">
      <c r="B68" t="str">
        <f t="shared" si="2"/>
        <v>Reload (Free Love)</v>
      </c>
      <c r="C68" s="2">
        <v>2256</v>
      </c>
    </row>
    <row r="69" spans="1:3" x14ac:dyDescent="0.25">
      <c r="B69" t="str">
        <f t="shared" si="2"/>
        <v>Fade into Darkness</v>
      </c>
      <c r="C69" s="2">
        <v>589</v>
      </c>
    </row>
    <row r="70" spans="1:3" x14ac:dyDescent="0.25">
      <c r="A70" s="1">
        <v>45162</v>
      </c>
      <c r="B70" t="str">
        <f t="shared" si="2"/>
        <v xml:space="preserve">Don´t You Worry Child </v>
      </c>
      <c r="C70" s="2">
        <v>33071</v>
      </c>
    </row>
    <row r="71" spans="1:3" x14ac:dyDescent="0.25">
      <c r="B71" t="str">
        <f t="shared" si="2"/>
        <v>Save the World</v>
      </c>
      <c r="C71" s="2">
        <v>2931</v>
      </c>
    </row>
    <row r="72" spans="1:3" x14ac:dyDescent="0.25">
      <c r="B72" t="str">
        <f t="shared" si="2"/>
        <v>Reload (Free Love)</v>
      </c>
      <c r="C72" s="2">
        <v>366</v>
      </c>
    </row>
    <row r="73" spans="1:3" x14ac:dyDescent="0.25">
      <c r="B73" t="str">
        <f t="shared" si="2"/>
        <v>Fade into Darkness</v>
      </c>
      <c r="C73" s="2">
        <v>676</v>
      </c>
    </row>
    <row r="74" spans="1:3" x14ac:dyDescent="0.25">
      <c r="B74" t="s">
        <v>5</v>
      </c>
      <c r="C74" s="2">
        <v>0</v>
      </c>
    </row>
    <row r="75" spans="1:3" x14ac:dyDescent="0.25">
      <c r="A75" s="1">
        <v>45190</v>
      </c>
      <c r="B75" t="str">
        <f t="shared" ref="B75:B106" si="3">B70</f>
        <v xml:space="preserve">Don´t You Worry Child </v>
      </c>
      <c r="C75" s="2">
        <v>60486</v>
      </c>
    </row>
    <row r="76" spans="1:3" x14ac:dyDescent="0.25">
      <c r="B76" t="str">
        <f t="shared" si="3"/>
        <v>Save the World</v>
      </c>
      <c r="C76" s="2">
        <v>6221</v>
      </c>
    </row>
    <row r="77" spans="1:3" x14ac:dyDescent="0.25">
      <c r="B77" t="str">
        <f t="shared" si="3"/>
        <v>Reload (Free Love)</v>
      </c>
      <c r="C77" s="2">
        <v>3385</v>
      </c>
    </row>
    <row r="78" spans="1:3" x14ac:dyDescent="0.25">
      <c r="B78" t="str">
        <f t="shared" si="3"/>
        <v>Fade into Darkness</v>
      </c>
      <c r="C78" s="2">
        <v>393</v>
      </c>
    </row>
    <row r="79" spans="1:3" x14ac:dyDescent="0.25">
      <c r="B79" t="str">
        <f t="shared" si="3"/>
        <v>Reload (instrumental)</v>
      </c>
      <c r="C79" s="2">
        <v>0</v>
      </c>
    </row>
    <row r="80" spans="1:3" x14ac:dyDescent="0.25">
      <c r="A80" s="1">
        <v>45246</v>
      </c>
      <c r="B80" t="str">
        <f t="shared" si="3"/>
        <v xml:space="preserve">Don´t You Worry Child </v>
      </c>
      <c r="C80" s="2">
        <v>49458</v>
      </c>
    </row>
    <row r="81" spans="1:3" x14ac:dyDescent="0.25">
      <c r="B81" t="str">
        <f t="shared" si="3"/>
        <v>Save the World</v>
      </c>
      <c r="C81" s="2">
        <v>4066</v>
      </c>
    </row>
    <row r="82" spans="1:3" x14ac:dyDescent="0.25">
      <c r="B82" t="str">
        <f t="shared" si="3"/>
        <v>Reload (Free Love)</v>
      </c>
      <c r="C82" s="2">
        <v>2411</v>
      </c>
    </row>
    <row r="83" spans="1:3" x14ac:dyDescent="0.25">
      <c r="B83" t="str">
        <f t="shared" si="3"/>
        <v>Fade into Darkness</v>
      </c>
      <c r="C83" s="2">
        <v>1090</v>
      </c>
    </row>
    <row r="84" spans="1:3" x14ac:dyDescent="0.25">
      <c r="B84" t="str">
        <f t="shared" si="3"/>
        <v>Reload (instrumental)</v>
      </c>
      <c r="C84" s="2">
        <v>0</v>
      </c>
    </row>
    <row r="85" spans="1:3" x14ac:dyDescent="0.25">
      <c r="A85" s="1">
        <v>45275</v>
      </c>
      <c r="B85" t="str">
        <f t="shared" si="3"/>
        <v xml:space="preserve">Don´t You Worry Child </v>
      </c>
      <c r="C85" s="2">
        <v>105536</v>
      </c>
    </row>
    <row r="86" spans="1:3" x14ac:dyDescent="0.25">
      <c r="B86" t="str">
        <f t="shared" si="3"/>
        <v>Save the World</v>
      </c>
      <c r="C86" s="2">
        <v>12792</v>
      </c>
    </row>
    <row r="87" spans="1:3" x14ac:dyDescent="0.25">
      <c r="B87" t="str">
        <f t="shared" si="3"/>
        <v>Reload (Free Love)</v>
      </c>
      <c r="C87" s="2">
        <v>4836</v>
      </c>
    </row>
    <row r="88" spans="1:3" x14ac:dyDescent="0.25">
      <c r="B88" t="str">
        <f t="shared" si="3"/>
        <v>Fade into Darkness</v>
      </c>
      <c r="C88" s="2">
        <v>593</v>
      </c>
    </row>
    <row r="89" spans="1:3" x14ac:dyDescent="0.25">
      <c r="B89" t="str">
        <f t="shared" si="3"/>
        <v>Reload (instrumental)</v>
      </c>
      <c r="C89" s="2">
        <v>0</v>
      </c>
    </row>
    <row r="90" spans="1:3" x14ac:dyDescent="0.25">
      <c r="A90" s="1">
        <v>45342</v>
      </c>
      <c r="B90" t="str">
        <f t="shared" si="3"/>
        <v xml:space="preserve">Don´t You Worry Child </v>
      </c>
      <c r="C90" s="2">
        <v>55225</v>
      </c>
    </row>
    <row r="91" spans="1:3" x14ac:dyDescent="0.25">
      <c r="B91" t="str">
        <f t="shared" si="3"/>
        <v>Save the World</v>
      </c>
      <c r="C91" s="2">
        <v>4119</v>
      </c>
    </row>
    <row r="92" spans="1:3" x14ac:dyDescent="0.25">
      <c r="B92" t="str">
        <f t="shared" si="3"/>
        <v>Reload (Free Love)</v>
      </c>
      <c r="C92" s="2">
        <v>1271</v>
      </c>
    </row>
    <row r="93" spans="1:3" x14ac:dyDescent="0.25">
      <c r="B93" t="str">
        <f t="shared" si="3"/>
        <v>Fade into Darkness</v>
      </c>
      <c r="C93" s="2">
        <v>925</v>
      </c>
    </row>
    <row r="94" spans="1:3" x14ac:dyDescent="0.25">
      <c r="B94" t="str">
        <f t="shared" si="3"/>
        <v>Reload (instrumental)</v>
      </c>
      <c r="C94" s="2">
        <v>0</v>
      </c>
    </row>
    <row r="95" spans="1:3" x14ac:dyDescent="0.25">
      <c r="A95" s="1">
        <v>45370</v>
      </c>
      <c r="B95" t="str">
        <f t="shared" si="3"/>
        <v xml:space="preserve">Don´t You Worry Child </v>
      </c>
      <c r="C95" s="2">
        <v>175404</v>
      </c>
    </row>
    <row r="96" spans="1:3" x14ac:dyDescent="0.25">
      <c r="B96" t="str">
        <f t="shared" si="3"/>
        <v>Save the World</v>
      </c>
      <c r="C96" s="2">
        <v>10123</v>
      </c>
    </row>
    <row r="97" spans="1:3" x14ac:dyDescent="0.25">
      <c r="B97" t="str">
        <f t="shared" si="3"/>
        <v>Reload (Free Love)</v>
      </c>
      <c r="C97" s="2">
        <v>4121</v>
      </c>
    </row>
    <row r="98" spans="1:3" x14ac:dyDescent="0.25">
      <c r="B98" t="str">
        <f t="shared" si="3"/>
        <v>Fade into Darkness</v>
      </c>
      <c r="C98" s="2">
        <v>1027</v>
      </c>
    </row>
    <row r="99" spans="1:3" x14ac:dyDescent="0.25">
      <c r="B99" t="str">
        <f t="shared" si="3"/>
        <v>Reload (instrumental)</v>
      </c>
      <c r="C99" s="2">
        <v>0</v>
      </c>
    </row>
    <row r="100" spans="1:3" x14ac:dyDescent="0.25">
      <c r="A100" s="1">
        <v>45433</v>
      </c>
      <c r="B100" t="str">
        <f t="shared" si="3"/>
        <v xml:space="preserve">Don´t You Worry Child </v>
      </c>
      <c r="C100" s="2">
        <v>49488</v>
      </c>
    </row>
    <row r="101" spans="1:3" x14ac:dyDescent="0.25">
      <c r="B101" t="str">
        <f t="shared" si="3"/>
        <v>Save the World</v>
      </c>
      <c r="C101" s="2">
        <v>3485</v>
      </c>
    </row>
    <row r="102" spans="1:3" x14ac:dyDescent="0.25">
      <c r="B102" t="str">
        <f t="shared" si="3"/>
        <v>Reload (Free Love)</v>
      </c>
      <c r="C102" s="2">
        <v>1216</v>
      </c>
    </row>
    <row r="103" spans="1:3" x14ac:dyDescent="0.25">
      <c r="B103" t="str">
        <f t="shared" si="3"/>
        <v>Fade into Darkness</v>
      </c>
      <c r="C103" s="2">
        <v>661</v>
      </c>
    </row>
    <row r="104" spans="1:3" x14ac:dyDescent="0.25">
      <c r="B104" t="str">
        <f t="shared" si="3"/>
        <v>Reload (instrumental)</v>
      </c>
      <c r="C104" s="2">
        <v>0</v>
      </c>
    </row>
    <row r="105" spans="1:3" x14ac:dyDescent="0.25">
      <c r="A105" s="1">
        <v>45461</v>
      </c>
      <c r="B105" t="str">
        <f t="shared" si="3"/>
        <v xml:space="preserve">Don´t You Worry Child </v>
      </c>
      <c r="C105" s="2">
        <v>125386</v>
      </c>
    </row>
    <row r="106" spans="1:3" x14ac:dyDescent="0.25">
      <c r="B106" t="str">
        <f t="shared" si="3"/>
        <v>Save the World</v>
      </c>
      <c r="C106" s="2">
        <v>11309</v>
      </c>
    </row>
    <row r="107" spans="1:3" x14ac:dyDescent="0.25">
      <c r="B107" t="str">
        <f t="shared" ref="B107:B138" si="4">B102</f>
        <v>Reload (Free Love)</v>
      </c>
      <c r="C107" s="2">
        <v>6641</v>
      </c>
    </row>
    <row r="108" spans="1:3" x14ac:dyDescent="0.25">
      <c r="B108" t="str">
        <f t="shared" si="4"/>
        <v>Fade into Darkness</v>
      </c>
      <c r="C108" s="2">
        <v>1339</v>
      </c>
    </row>
    <row r="109" spans="1:3" x14ac:dyDescent="0.25">
      <c r="B109" t="str">
        <f t="shared" si="4"/>
        <v>Reload (instrumental)</v>
      </c>
      <c r="C109" s="2">
        <v>0</v>
      </c>
    </row>
    <row r="110" spans="1:3" x14ac:dyDescent="0.25">
      <c r="A110" s="1">
        <v>45526</v>
      </c>
      <c r="B110" t="str">
        <f t="shared" si="4"/>
        <v xml:space="preserve">Don´t You Worry Child </v>
      </c>
      <c r="C110" s="2">
        <v>49214</v>
      </c>
    </row>
    <row r="111" spans="1:3" x14ac:dyDescent="0.25">
      <c r="B111" t="str">
        <f t="shared" si="4"/>
        <v>Save the World</v>
      </c>
      <c r="C111" s="2">
        <v>3379</v>
      </c>
    </row>
    <row r="112" spans="1:3" x14ac:dyDescent="0.25">
      <c r="B112" t="str">
        <f t="shared" si="4"/>
        <v>Reload (Free Love)</v>
      </c>
      <c r="C112" s="2">
        <v>1148</v>
      </c>
    </row>
    <row r="113" spans="1:3" x14ac:dyDescent="0.25">
      <c r="B113" t="str">
        <f t="shared" si="4"/>
        <v>Fade into Darkness</v>
      </c>
      <c r="C113" s="2">
        <v>609</v>
      </c>
    </row>
    <row r="114" spans="1:3" x14ac:dyDescent="0.25">
      <c r="B114" t="str">
        <f t="shared" si="4"/>
        <v>Reload (instrumental)</v>
      </c>
      <c r="C114" s="2">
        <v>0</v>
      </c>
    </row>
    <row r="115" spans="1:3" x14ac:dyDescent="0.25">
      <c r="A115" s="1">
        <v>45552</v>
      </c>
      <c r="B115" t="str">
        <f t="shared" si="4"/>
        <v xml:space="preserve">Don´t You Worry Child </v>
      </c>
      <c r="C115" s="2">
        <v>190677</v>
      </c>
    </row>
    <row r="116" spans="1:3" x14ac:dyDescent="0.25">
      <c r="B116" t="str">
        <f t="shared" si="4"/>
        <v>Save the World</v>
      </c>
      <c r="C116" s="2">
        <v>19715</v>
      </c>
    </row>
    <row r="117" spans="1:3" x14ac:dyDescent="0.25">
      <c r="B117" t="str">
        <f t="shared" si="4"/>
        <v>Reload (Free Love)</v>
      </c>
      <c r="C117" s="2">
        <v>4345</v>
      </c>
    </row>
    <row r="118" spans="1:3" x14ac:dyDescent="0.25">
      <c r="B118" t="str">
        <f t="shared" si="4"/>
        <v>Fade into Darkness</v>
      </c>
      <c r="C118" s="2">
        <v>736</v>
      </c>
    </row>
    <row r="119" spans="1:3" x14ac:dyDescent="0.25">
      <c r="B119" t="str">
        <f t="shared" si="4"/>
        <v>Reload (instrumental)</v>
      </c>
      <c r="C119" s="2">
        <v>0</v>
      </c>
    </row>
    <row r="120" spans="1:3" x14ac:dyDescent="0.25">
      <c r="A120" s="1">
        <v>45617</v>
      </c>
      <c r="B120" t="str">
        <f t="shared" si="4"/>
        <v xml:space="preserve">Don´t You Worry Child </v>
      </c>
      <c r="C120" s="2">
        <v>67648</v>
      </c>
    </row>
    <row r="121" spans="1:3" x14ac:dyDescent="0.25">
      <c r="B121" t="str">
        <f t="shared" si="4"/>
        <v>Save the World</v>
      </c>
      <c r="C121" s="2">
        <v>5819</v>
      </c>
    </row>
    <row r="122" spans="1:3" x14ac:dyDescent="0.25">
      <c r="B122" t="str">
        <f t="shared" si="4"/>
        <v>Reload (Free Love)</v>
      </c>
      <c r="C122" s="2">
        <v>2203</v>
      </c>
    </row>
    <row r="123" spans="1:3" x14ac:dyDescent="0.25">
      <c r="B123" t="str">
        <f t="shared" si="4"/>
        <v>Fade into Darkness</v>
      </c>
      <c r="C123" s="2">
        <v>1016</v>
      </c>
    </row>
    <row r="124" spans="1:3" x14ac:dyDescent="0.25">
      <c r="B124" t="str">
        <f t="shared" si="4"/>
        <v>Reload (instrumental)</v>
      </c>
      <c r="C124" s="2">
        <v>0</v>
      </c>
    </row>
    <row r="125" spans="1:3" x14ac:dyDescent="0.25">
      <c r="A125" s="1">
        <v>45643</v>
      </c>
      <c r="B125" t="str">
        <f t="shared" si="4"/>
        <v xml:space="preserve">Don´t You Worry Child </v>
      </c>
      <c r="C125" s="2">
        <v>190585</v>
      </c>
    </row>
    <row r="126" spans="1:3" x14ac:dyDescent="0.25">
      <c r="B126" t="str">
        <f t="shared" si="4"/>
        <v>Save the World</v>
      </c>
      <c r="C126" s="2">
        <v>23521</v>
      </c>
    </row>
    <row r="127" spans="1:3" x14ac:dyDescent="0.25">
      <c r="B127" t="str">
        <f t="shared" si="4"/>
        <v>Reload (Free Love)</v>
      </c>
      <c r="C127" s="2">
        <v>7544</v>
      </c>
    </row>
    <row r="128" spans="1:3" x14ac:dyDescent="0.25">
      <c r="B128" t="str">
        <f t="shared" si="4"/>
        <v>Fade into Darkness</v>
      </c>
      <c r="C128" s="2">
        <v>2039</v>
      </c>
    </row>
    <row r="129" spans="1:3" x14ac:dyDescent="0.25">
      <c r="B129" t="str">
        <f t="shared" si="4"/>
        <v>Reload (instrumental)</v>
      </c>
      <c r="C129" s="2">
        <v>0</v>
      </c>
    </row>
    <row r="130" spans="1:3" x14ac:dyDescent="0.25">
      <c r="A130" s="1">
        <v>45713</v>
      </c>
      <c r="B130" t="str">
        <f t="shared" si="4"/>
        <v xml:space="preserve">Don´t You Worry Child </v>
      </c>
      <c r="C130" s="2">
        <v>57116</v>
      </c>
    </row>
    <row r="131" spans="1:3" x14ac:dyDescent="0.25">
      <c r="B131" t="str">
        <f t="shared" si="4"/>
        <v>Save the World</v>
      </c>
      <c r="C131" s="2">
        <v>3752</v>
      </c>
    </row>
    <row r="132" spans="1:3" x14ac:dyDescent="0.25">
      <c r="B132" t="str">
        <f t="shared" si="4"/>
        <v>Reload (Free Love)</v>
      </c>
      <c r="C132" s="2">
        <v>1294</v>
      </c>
    </row>
    <row r="133" spans="1:3" x14ac:dyDescent="0.25">
      <c r="B133" t="str">
        <f t="shared" si="4"/>
        <v>Fade into Darkness</v>
      </c>
      <c r="C133" s="2">
        <v>680</v>
      </c>
    </row>
    <row r="134" spans="1:3" x14ac:dyDescent="0.25">
      <c r="B134" t="str">
        <f t="shared" si="4"/>
        <v>Reload (instrumental)</v>
      </c>
      <c r="C134" s="2">
        <v>0</v>
      </c>
    </row>
    <row r="135" spans="1:3" x14ac:dyDescent="0.25">
      <c r="A135" s="1">
        <v>45771</v>
      </c>
      <c r="B135" t="str">
        <f t="shared" si="4"/>
        <v xml:space="preserve">Don´t You Worry Child </v>
      </c>
      <c r="C135" s="2">
        <v>1314</v>
      </c>
    </row>
    <row r="136" spans="1:3" x14ac:dyDescent="0.25">
      <c r="B136" t="str">
        <f t="shared" si="4"/>
        <v>Save the World</v>
      </c>
      <c r="C136" s="2">
        <v>556</v>
      </c>
    </row>
    <row r="137" spans="1:3" x14ac:dyDescent="0.25">
      <c r="B137" t="str">
        <f t="shared" si="4"/>
        <v>Reload (Free Love)</v>
      </c>
      <c r="C137" s="2">
        <v>10</v>
      </c>
    </row>
    <row r="138" spans="1:3" x14ac:dyDescent="0.25">
      <c r="B138" t="str">
        <f t="shared" si="4"/>
        <v>Fade into Darkness</v>
      </c>
      <c r="C138" s="2">
        <v>0</v>
      </c>
    </row>
    <row r="139" spans="1:3" x14ac:dyDescent="0.25">
      <c r="B139" t="str">
        <f t="shared" ref="B139" si="5">B134</f>
        <v>Reload (instrumental)</v>
      </c>
      <c r="C139" s="2">
        <v>0</v>
      </c>
    </row>
    <row r="140" spans="1:3" x14ac:dyDescent="0.25">
      <c r="A140" s="1">
        <v>45771</v>
      </c>
      <c r="B140" t="str">
        <f t="shared" ref="B140:B144" si="6">B135</f>
        <v xml:space="preserve">Don´t You Worry Child </v>
      </c>
      <c r="C140" s="2">
        <v>123534</v>
      </c>
    </row>
    <row r="141" spans="1:3" x14ac:dyDescent="0.25">
      <c r="B141" t="str">
        <f t="shared" si="6"/>
        <v>Save the World</v>
      </c>
      <c r="C141" s="2">
        <v>12157</v>
      </c>
    </row>
    <row r="142" spans="1:3" x14ac:dyDescent="0.25">
      <c r="B142" t="str">
        <f t="shared" si="6"/>
        <v>Reload (Free Love)</v>
      </c>
      <c r="C142" s="2">
        <v>2999</v>
      </c>
    </row>
    <row r="143" spans="1:3" x14ac:dyDescent="0.25">
      <c r="B143" t="str">
        <f t="shared" si="6"/>
        <v>Fade into Darkness</v>
      </c>
      <c r="C143" s="2">
        <v>382</v>
      </c>
    </row>
    <row r="144" spans="1:3" x14ac:dyDescent="0.25">
      <c r="B144" t="str">
        <f t="shared" si="6"/>
        <v>Reload (instrumental)</v>
      </c>
      <c r="C144" s="2">
        <v>0</v>
      </c>
    </row>
    <row r="145" spans="1:3" x14ac:dyDescent="0.25">
      <c r="A145" s="1">
        <v>45799</v>
      </c>
      <c r="B145" t="str">
        <f t="shared" ref="B145:B179" si="7">B140</f>
        <v xml:space="preserve">Don´t You Worry Child </v>
      </c>
      <c r="C145" s="2">
        <v>33670</v>
      </c>
    </row>
    <row r="146" spans="1:3" x14ac:dyDescent="0.25">
      <c r="B146" t="str">
        <f t="shared" si="7"/>
        <v>Save the World</v>
      </c>
      <c r="C146" s="2">
        <v>2936</v>
      </c>
    </row>
    <row r="147" spans="1:3" x14ac:dyDescent="0.25">
      <c r="B147" t="str">
        <f t="shared" si="7"/>
        <v>Reload (Free Love)</v>
      </c>
      <c r="C147" s="2">
        <v>900</v>
      </c>
    </row>
    <row r="148" spans="1:3" x14ac:dyDescent="0.25">
      <c r="B148" t="str">
        <f t="shared" si="7"/>
        <v>Fade into Darkness</v>
      </c>
      <c r="C148" s="2">
        <v>524</v>
      </c>
    </row>
    <row r="149" spans="1:3" x14ac:dyDescent="0.25">
      <c r="B149" t="str">
        <f t="shared" si="7"/>
        <v>Reload (instrumental)</v>
      </c>
      <c r="C149" s="2">
        <v>0</v>
      </c>
    </row>
    <row r="150" spans="1:3" x14ac:dyDescent="0.25">
      <c r="A150" s="1">
        <v>45825</v>
      </c>
      <c r="B150" t="str">
        <f t="shared" si="7"/>
        <v xml:space="preserve">Don´t You Worry Child </v>
      </c>
      <c r="C150" s="2">
        <v>194238</v>
      </c>
    </row>
    <row r="151" spans="1:3" x14ac:dyDescent="0.25">
      <c r="B151" t="str">
        <f t="shared" si="7"/>
        <v>Save the World</v>
      </c>
      <c r="C151" s="2">
        <v>16379</v>
      </c>
    </row>
    <row r="152" spans="1:3" x14ac:dyDescent="0.25">
      <c r="B152" t="str">
        <f t="shared" si="7"/>
        <v>Reload (Free Love)</v>
      </c>
      <c r="C152" s="2">
        <v>6521</v>
      </c>
    </row>
    <row r="153" spans="1:3" x14ac:dyDescent="0.25">
      <c r="B153" t="str">
        <f t="shared" si="7"/>
        <v>Fade into Darkness</v>
      </c>
      <c r="C153" s="2">
        <v>901</v>
      </c>
    </row>
    <row r="154" spans="1:3" x14ac:dyDescent="0.25">
      <c r="B154" t="str">
        <f t="shared" si="7"/>
        <v>Reload (instrumental)</v>
      </c>
      <c r="C154" s="2">
        <v>0</v>
      </c>
    </row>
    <row r="155" spans="1:3" x14ac:dyDescent="0.25">
      <c r="A155" s="1">
        <v>45897</v>
      </c>
      <c r="B155" t="str">
        <f t="shared" si="7"/>
        <v xml:space="preserve">Don´t You Worry Child </v>
      </c>
      <c r="C155" s="2">
        <v>47989</v>
      </c>
    </row>
    <row r="156" spans="1:3" x14ac:dyDescent="0.25">
      <c r="A156" s="1"/>
      <c r="B156" t="str">
        <f t="shared" si="7"/>
        <v>Save the World</v>
      </c>
      <c r="C156" s="2">
        <v>3316</v>
      </c>
    </row>
    <row r="157" spans="1:3" x14ac:dyDescent="0.25">
      <c r="B157" t="str">
        <f t="shared" si="7"/>
        <v>Reload (Free Love)</v>
      </c>
      <c r="C157" s="2">
        <v>1216</v>
      </c>
    </row>
    <row r="158" spans="1:3" x14ac:dyDescent="0.25">
      <c r="B158" t="str">
        <f t="shared" si="7"/>
        <v>Fade into Darkness</v>
      </c>
      <c r="C158" s="2">
        <v>991</v>
      </c>
    </row>
    <row r="159" spans="1:3" x14ac:dyDescent="0.25">
      <c r="B159" t="str">
        <f t="shared" si="7"/>
        <v>Reload (instrumental)</v>
      </c>
      <c r="C159" s="2">
        <v>0</v>
      </c>
    </row>
    <row r="160" spans="1:3" x14ac:dyDescent="0.25">
      <c r="A160" s="1">
        <v>45925</v>
      </c>
      <c r="B160" t="str">
        <f t="shared" si="7"/>
        <v xml:space="preserve">Don´t You Worry Child </v>
      </c>
      <c r="C160" s="2">
        <v>225598</v>
      </c>
    </row>
    <row r="161" spans="1:3" x14ac:dyDescent="0.25">
      <c r="B161" t="str">
        <f t="shared" si="7"/>
        <v>Save the World</v>
      </c>
      <c r="C161" s="2">
        <v>22340</v>
      </c>
    </row>
    <row r="162" spans="1:3" x14ac:dyDescent="0.25">
      <c r="A162" s="1"/>
      <c r="B162" t="str">
        <f t="shared" si="7"/>
        <v>Reload (Free Love)</v>
      </c>
      <c r="C162" s="2">
        <v>6477</v>
      </c>
    </row>
    <row r="163" spans="1:3" x14ac:dyDescent="0.25">
      <c r="B163" t="str">
        <f t="shared" si="7"/>
        <v>Fade into Darkness</v>
      </c>
      <c r="C163" s="2">
        <v>888</v>
      </c>
    </row>
    <row r="164" spans="1:3" x14ac:dyDescent="0.25">
      <c r="B164" t="str">
        <f t="shared" si="7"/>
        <v>Reload (instrumental)</v>
      </c>
      <c r="C164" s="2">
        <v>0</v>
      </c>
    </row>
    <row r="165" spans="1:3" x14ac:dyDescent="0.25">
      <c r="A165" s="1">
        <v>45981</v>
      </c>
      <c r="B165" t="str">
        <f t="shared" si="7"/>
        <v xml:space="preserve">Don´t You Worry Child </v>
      </c>
      <c r="C165" s="2">
        <v>61250</v>
      </c>
    </row>
    <row r="166" spans="1:3" x14ac:dyDescent="0.25">
      <c r="B166" t="str">
        <f t="shared" si="7"/>
        <v>Save the World</v>
      </c>
      <c r="C166" s="2">
        <v>5580</v>
      </c>
    </row>
    <row r="167" spans="1:3" x14ac:dyDescent="0.25">
      <c r="B167" t="str">
        <f t="shared" si="7"/>
        <v>Reload (Free Love)</v>
      </c>
      <c r="C167" s="2">
        <v>1486</v>
      </c>
    </row>
    <row r="168" spans="1:3" x14ac:dyDescent="0.25">
      <c r="A168" s="1"/>
      <c r="B168" t="str">
        <f t="shared" si="7"/>
        <v>Fade into Darkness</v>
      </c>
      <c r="C168" s="2">
        <v>1382</v>
      </c>
    </row>
    <row r="169" spans="1:3" x14ac:dyDescent="0.25">
      <c r="B169" t="str">
        <f t="shared" si="7"/>
        <v>Reload (instrumental)</v>
      </c>
      <c r="C169" s="2">
        <v>0</v>
      </c>
    </row>
    <row r="170" spans="1:3" x14ac:dyDescent="0.25">
      <c r="A170" s="1">
        <v>46007</v>
      </c>
      <c r="B170" t="str">
        <f t="shared" si="7"/>
        <v xml:space="preserve">Don´t You Worry Child </v>
      </c>
      <c r="C170" s="2">
        <v>1156</v>
      </c>
    </row>
    <row r="171" spans="1:3" x14ac:dyDescent="0.25">
      <c r="B171" t="str">
        <f t="shared" si="7"/>
        <v>Save the World</v>
      </c>
      <c r="C171" s="2">
        <v>499</v>
      </c>
    </row>
    <row r="172" spans="1:3" x14ac:dyDescent="0.25">
      <c r="B172" t="str">
        <f t="shared" si="7"/>
        <v>Reload (Free Love)</v>
      </c>
      <c r="C172" s="2">
        <v>903</v>
      </c>
    </row>
    <row r="173" spans="1:3" x14ac:dyDescent="0.25">
      <c r="B173" t="str">
        <f t="shared" si="7"/>
        <v>Fade into Darkness</v>
      </c>
      <c r="C173" s="2">
        <v>0</v>
      </c>
    </row>
    <row r="174" spans="1:3" x14ac:dyDescent="0.25">
      <c r="A174" s="1"/>
      <c r="B174" t="str">
        <f t="shared" si="7"/>
        <v>Reload (instrumental)</v>
      </c>
      <c r="C174" s="2">
        <v>0</v>
      </c>
    </row>
    <row r="175" spans="1:3" x14ac:dyDescent="0.25">
      <c r="A175" s="1">
        <v>46007</v>
      </c>
      <c r="B175" t="str">
        <f t="shared" si="7"/>
        <v xml:space="preserve">Don´t You Worry Child </v>
      </c>
      <c r="C175" s="2">
        <v>176606</v>
      </c>
    </row>
    <row r="176" spans="1:3" x14ac:dyDescent="0.25">
      <c r="B176" t="str">
        <f t="shared" si="7"/>
        <v>Save the World</v>
      </c>
      <c r="C176" s="2">
        <v>22004</v>
      </c>
    </row>
    <row r="177" spans="1:3" x14ac:dyDescent="0.25">
      <c r="B177" t="str">
        <f t="shared" si="7"/>
        <v>Reload (Free Love)</v>
      </c>
      <c r="C177" s="2">
        <v>5031</v>
      </c>
    </row>
    <row r="178" spans="1:3" x14ac:dyDescent="0.25">
      <c r="B178" t="str">
        <f t="shared" si="7"/>
        <v>Fade into Darkness</v>
      </c>
      <c r="C178" s="2">
        <v>2305</v>
      </c>
    </row>
    <row r="179" spans="1:3" x14ac:dyDescent="0.25">
      <c r="B179" t="str">
        <f t="shared" si="7"/>
        <v>Reload (instrumental)</v>
      </c>
      <c r="C179" s="2">
        <v>0</v>
      </c>
    </row>
    <row r="180" spans="1:3" x14ac:dyDescent="0.25">
      <c r="A180" s="1"/>
      <c r="C180" s="2">
        <f>SUM(C6:C179)</f>
        <v>2504904</v>
      </c>
    </row>
    <row r="181" spans="1:3" x14ac:dyDescent="0.25">
      <c r="C181" s="2"/>
    </row>
    <row r="182" spans="1:3" x14ac:dyDescent="0.25">
      <c r="C182" s="2"/>
    </row>
    <row r="183" spans="1:3" x14ac:dyDescent="0.25">
      <c r="C183" s="2"/>
    </row>
    <row r="184" spans="1:3" x14ac:dyDescent="0.25">
      <c r="C184" s="2"/>
    </row>
    <row r="186" spans="1:3" x14ac:dyDescent="0.25">
      <c r="A186" s="1"/>
      <c r="C186" s="2"/>
    </row>
    <row r="187" spans="1:3" x14ac:dyDescent="0.25">
      <c r="C187" s="2"/>
    </row>
    <row r="188" spans="1:3" x14ac:dyDescent="0.25">
      <c r="C188" s="2"/>
    </row>
    <row r="189" spans="1:3" x14ac:dyDescent="0.25">
      <c r="C189" s="2"/>
    </row>
    <row r="190" spans="1:3" x14ac:dyDescent="0.25">
      <c r="C190" s="2"/>
    </row>
    <row r="192" spans="1:3" x14ac:dyDescent="0.25">
      <c r="A192" s="1"/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BA9C-75B4-4FC0-A9DD-967AE4CDD1D4}">
  <dimension ref="A1:C39"/>
  <sheetViews>
    <sheetView workbookViewId="0">
      <selection activeCell="E24" sqref="E24"/>
    </sheetView>
  </sheetViews>
  <sheetFormatPr defaultRowHeight="15" x14ac:dyDescent="0.25"/>
  <cols>
    <col min="2" max="2" width="27.5703125" customWidth="1"/>
  </cols>
  <sheetData>
    <row r="1" spans="1:3" x14ac:dyDescent="0.25">
      <c r="A1" t="s">
        <v>12</v>
      </c>
    </row>
    <row r="3" spans="1:3" x14ac:dyDescent="0.25">
      <c r="A3" t="s">
        <v>10</v>
      </c>
    </row>
    <row r="6" spans="1:3" x14ac:dyDescent="0.25">
      <c r="A6" t="s">
        <v>27</v>
      </c>
      <c r="B6" t="s">
        <v>7</v>
      </c>
      <c r="C6" s="2">
        <v>448900</v>
      </c>
    </row>
    <row r="7" spans="1:3" x14ac:dyDescent="0.25">
      <c r="B7" t="s">
        <v>4</v>
      </c>
      <c r="C7" s="2">
        <v>61320</v>
      </c>
    </row>
    <row r="8" spans="1:3" x14ac:dyDescent="0.25">
      <c r="B8" t="s">
        <v>8</v>
      </c>
      <c r="C8">
        <v>0</v>
      </c>
    </row>
    <row r="9" spans="1:3" x14ac:dyDescent="0.25">
      <c r="B9" t="s">
        <v>3</v>
      </c>
      <c r="C9" s="2">
        <v>3290</v>
      </c>
    </row>
    <row r="11" spans="1:3" x14ac:dyDescent="0.25">
      <c r="A11" t="s">
        <v>28</v>
      </c>
      <c r="B11" t="str">
        <f t="shared" ref="B11:B14" si="0">B6</f>
        <v>Don´t You Worry Child</v>
      </c>
      <c r="C11" s="2">
        <v>398620</v>
      </c>
    </row>
    <row r="12" spans="1:3" x14ac:dyDescent="0.25">
      <c r="B12" t="str">
        <f t="shared" si="0"/>
        <v>Save the World</v>
      </c>
      <c r="C12" s="2">
        <v>53780</v>
      </c>
    </row>
    <row r="13" spans="1:3" x14ac:dyDescent="0.25">
      <c r="B13" t="str">
        <f t="shared" si="0"/>
        <v>Reload /Free Love)</v>
      </c>
      <c r="C13" s="2">
        <v>0</v>
      </c>
    </row>
    <row r="14" spans="1:3" x14ac:dyDescent="0.25">
      <c r="B14" t="str">
        <f t="shared" si="0"/>
        <v>Fade into Darkness</v>
      </c>
      <c r="C14" s="2">
        <v>1550</v>
      </c>
    </row>
    <row r="16" spans="1:3" x14ac:dyDescent="0.25">
      <c r="A16" t="s">
        <v>29</v>
      </c>
      <c r="B16" t="str">
        <f t="shared" ref="B16:B19" si="1">B11</f>
        <v>Don´t You Worry Child</v>
      </c>
      <c r="C16" s="2">
        <v>420170</v>
      </c>
    </row>
    <row r="17" spans="1:3" x14ac:dyDescent="0.25">
      <c r="B17" t="str">
        <f t="shared" si="1"/>
        <v>Save the World</v>
      </c>
      <c r="C17" s="2">
        <v>139260</v>
      </c>
    </row>
    <row r="18" spans="1:3" x14ac:dyDescent="0.25">
      <c r="B18" t="str">
        <f t="shared" si="1"/>
        <v>Reload /Free Love)</v>
      </c>
      <c r="C18" s="2">
        <v>0</v>
      </c>
    </row>
    <row r="19" spans="1:3" x14ac:dyDescent="0.25">
      <c r="B19" t="str">
        <f t="shared" si="1"/>
        <v>Fade into Darkness</v>
      </c>
      <c r="C19" s="2">
        <v>2610</v>
      </c>
    </row>
    <row r="21" spans="1:3" x14ac:dyDescent="0.25">
      <c r="A21" t="s">
        <v>30</v>
      </c>
      <c r="B21" t="str">
        <f t="shared" ref="B21:B24" si="2">B16</f>
        <v>Don´t You Worry Child</v>
      </c>
      <c r="C21" s="2">
        <v>556820</v>
      </c>
    </row>
    <row r="22" spans="1:3" x14ac:dyDescent="0.25">
      <c r="B22" t="str">
        <f t="shared" si="2"/>
        <v>Save the World</v>
      </c>
      <c r="C22" s="2">
        <v>67140</v>
      </c>
    </row>
    <row r="23" spans="1:3" x14ac:dyDescent="0.25">
      <c r="B23" t="str">
        <f t="shared" si="2"/>
        <v>Reload /Free Love)</v>
      </c>
      <c r="C23" s="2">
        <v>0</v>
      </c>
    </row>
    <row r="24" spans="1:3" x14ac:dyDescent="0.25">
      <c r="B24" t="str">
        <f t="shared" si="2"/>
        <v>Fade into Darkness</v>
      </c>
      <c r="C24" s="2">
        <v>3610</v>
      </c>
    </row>
    <row r="26" spans="1:3" x14ac:dyDescent="0.25">
      <c r="A26" t="s">
        <v>31</v>
      </c>
      <c r="B26" t="str">
        <f t="shared" ref="B26:B29" si="3">B21</f>
        <v>Don´t You Worry Child</v>
      </c>
      <c r="C26" s="2">
        <v>407270</v>
      </c>
    </row>
    <row r="27" spans="1:3" x14ac:dyDescent="0.25">
      <c r="B27" t="str">
        <f t="shared" si="3"/>
        <v>Save the World</v>
      </c>
      <c r="C27" s="2">
        <v>52330</v>
      </c>
    </row>
    <row r="28" spans="1:3" x14ac:dyDescent="0.25">
      <c r="B28" t="str">
        <f t="shared" si="3"/>
        <v>Reload /Free Love)</v>
      </c>
      <c r="C28" s="2">
        <v>0</v>
      </c>
    </row>
    <row r="29" spans="1:3" x14ac:dyDescent="0.25">
      <c r="B29" t="str">
        <f t="shared" si="3"/>
        <v>Fade into Darkness</v>
      </c>
      <c r="C29" s="2">
        <v>2120</v>
      </c>
    </row>
    <row r="31" spans="1:3" x14ac:dyDescent="0.25">
      <c r="A31" t="s">
        <v>32</v>
      </c>
      <c r="B31" t="str">
        <f t="shared" ref="B31:B34" si="4">B26</f>
        <v>Don´t You Worry Child</v>
      </c>
      <c r="C31" s="2">
        <v>316300</v>
      </c>
    </row>
    <row r="32" spans="1:3" x14ac:dyDescent="0.25">
      <c r="B32" t="str">
        <f t="shared" si="4"/>
        <v>Save the World</v>
      </c>
      <c r="C32" s="2">
        <v>40410</v>
      </c>
    </row>
    <row r="33" spans="2:3" x14ac:dyDescent="0.25">
      <c r="B33" t="str">
        <f t="shared" si="4"/>
        <v>Reload /Free Love)</v>
      </c>
      <c r="C33" s="2">
        <v>0</v>
      </c>
    </row>
    <row r="34" spans="2:3" x14ac:dyDescent="0.25">
      <c r="B34" t="str">
        <f t="shared" si="4"/>
        <v>Fade into Darkness</v>
      </c>
      <c r="C34" s="2">
        <v>1600</v>
      </c>
    </row>
    <row r="36" spans="2:3" x14ac:dyDescent="0.25">
      <c r="C36" s="2"/>
    </row>
    <row r="37" spans="2:3" x14ac:dyDescent="0.25">
      <c r="C37" s="2"/>
    </row>
    <row r="38" spans="2:3" x14ac:dyDescent="0.25">
      <c r="C38" s="2"/>
    </row>
    <row r="39" spans="2:3" x14ac:dyDescent="0.25">
      <c r="C3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CE7D-413A-40B6-83A4-7665D9089B34}">
  <dimension ref="A1:J34"/>
  <sheetViews>
    <sheetView workbookViewId="0">
      <selection activeCell="E29" sqref="E6:E29"/>
    </sheetView>
  </sheetViews>
  <sheetFormatPr defaultRowHeight="15" x14ac:dyDescent="0.25"/>
  <cols>
    <col min="2" max="2" width="24" customWidth="1"/>
    <col min="3" max="3" width="20.28515625" customWidth="1"/>
  </cols>
  <sheetData>
    <row r="1" spans="1:10" x14ac:dyDescent="0.25">
      <c r="A1" t="s">
        <v>12</v>
      </c>
    </row>
    <row r="3" spans="1:10" x14ac:dyDescent="0.25">
      <c r="A3" t="s">
        <v>33</v>
      </c>
    </row>
    <row r="6" spans="1:10" x14ac:dyDescent="0.25">
      <c r="A6" t="s">
        <v>35</v>
      </c>
      <c r="B6" t="s">
        <v>8</v>
      </c>
      <c r="C6" s="2">
        <v>8611</v>
      </c>
    </row>
    <row r="7" spans="1:10" x14ac:dyDescent="0.25">
      <c r="A7" t="s">
        <v>36</v>
      </c>
      <c r="B7" t="s">
        <v>8</v>
      </c>
      <c r="C7" s="2">
        <v>7104</v>
      </c>
    </row>
    <row r="8" spans="1:10" x14ac:dyDescent="0.25">
      <c r="A8" t="s">
        <v>37</v>
      </c>
      <c r="B8" t="s">
        <v>8</v>
      </c>
      <c r="C8" s="8">
        <v>5698</v>
      </c>
    </row>
    <row r="9" spans="1:10" x14ac:dyDescent="0.25">
      <c r="A9" t="s">
        <v>38</v>
      </c>
      <c r="B9" t="s">
        <v>8</v>
      </c>
      <c r="C9" s="2">
        <v>7058</v>
      </c>
      <c r="E9" s="2"/>
    </row>
    <row r="10" spans="1:10" x14ac:dyDescent="0.25">
      <c r="C10" s="2">
        <v>0</v>
      </c>
    </row>
    <row r="11" spans="1:10" hidden="1" x14ac:dyDescent="0.25">
      <c r="A11" t="s">
        <v>6</v>
      </c>
      <c r="B11" t="str">
        <f t="shared" ref="B11:B14" si="0">B6</f>
        <v>Reload /Free Love)</v>
      </c>
      <c r="C11" s="2" t="s">
        <v>24</v>
      </c>
    </row>
    <row r="12" spans="1:10" hidden="1" x14ac:dyDescent="0.25">
      <c r="B12" t="str">
        <f t="shared" si="0"/>
        <v>Reload /Free Love)</v>
      </c>
      <c r="C12" s="2" t="s">
        <v>24</v>
      </c>
      <c r="J12" s="7" t="s">
        <v>21</v>
      </c>
    </row>
    <row r="13" spans="1:10" hidden="1" x14ac:dyDescent="0.25">
      <c r="B13" t="str">
        <f t="shared" si="0"/>
        <v>Reload /Free Love)</v>
      </c>
      <c r="C13" s="2"/>
      <c r="J13" s="7" t="s">
        <v>22</v>
      </c>
    </row>
    <row r="14" spans="1:10" hidden="1" x14ac:dyDescent="0.25">
      <c r="B14" t="str">
        <f t="shared" si="0"/>
        <v>Reload /Free Love)</v>
      </c>
      <c r="C14" s="2" t="s">
        <v>24</v>
      </c>
      <c r="J14" s="7" t="s">
        <v>23</v>
      </c>
    </row>
    <row r="15" spans="1:10" hidden="1" x14ac:dyDescent="0.25">
      <c r="J15" s="7"/>
    </row>
    <row r="16" spans="1:10" x14ac:dyDescent="0.25">
      <c r="A16" t="s">
        <v>39</v>
      </c>
      <c r="B16" t="str">
        <f t="shared" ref="B16:B19" si="1">B11</f>
        <v>Reload /Free Love)</v>
      </c>
      <c r="C16" s="2">
        <v>8397</v>
      </c>
    </row>
    <row r="17" spans="1:5" x14ac:dyDescent="0.25">
      <c r="A17" t="s">
        <v>40</v>
      </c>
      <c r="B17" t="str">
        <f t="shared" si="1"/>
        <v>Reload /Free Love)</v>
      </c>
      <c r="C17" s="2">
        <v>6514</v>
      </c>
    </row>
    <row r="18" spans="1:5" x14ac:dyDescent="0.25">
      <c r="A18" t="s">
        <v>41</v>
      </c>
      <c r="B18" t="str">
        <f t="shared" si="1"/>
        <v>Reload /Free Love)</v>
      </c>
      <c r="C18" s="2">
        <v>5424</v>
      </c>
    </row>
    <row r="19" spans="1:5" x14ac:dyDescent="0.25">
      <c r="A19" t="s">
        <v>42</v>
      </c>
      <c r="B19" t="str">
        <f t="shared" si="1"/>
        <v>Reload /Free Love)</v>
      </c>
      <c r="C19" s="2">
        <v>6588</v>
      </c>
      <c r="E19" s="2"/>
    </row>
    <row r="20" spans="1:5" x14ac:dyDescent="0.25">
      <c r="C20" s="2">
        <v>0</v>
      </c>
    </row>
    <row r="21" spans="1:5" hidden="1" x14ac:dyDescent="0.25">
      <c r="A21" t="s">
        <v>9</v>
      </c>
      <c r="B21" t="str">
        <f t="shared" ref="B21:B24" si="2">B16</f>
        <v>Reload /Free Love)</v>
      </c>
      <c r="C21" s="2" t="s">
        <v>24</v>
      </c>
    </row>
    <row r="22" spans="1:5" hidden="1" x14ac:dyDescent="0.25">
      <c r="B22" t="str">
        <f t="shared" si="2"/>
        <v>Reload /Free Love)</v>
      </c>
      <c r="C22" s="2" t="s">
        <v>24</v>
      </c>
    </row>
    <row r="23" spans="1:5" hidden="1" x14ac:dyDescent="0.25">
      <c r="B23" t="str">
        <f t="shared" si="2"/>
        <v>Reload /Free Love)</v>
      </c>
      <c r="C23" s="2">
        <v>0</v>
      </c>
    </row>
    <row r="24" spans="1:5" hidden="1" x14ac:dyDescent="0.25">
      <c r="B24" t="str">
        <f t="shared" si="2"/>
        <v>Reload /Free Love)</v>
      </c>
      <c r="C24" s="2">
        <v>3170</v>
      </c>
    </row>
    <row r="25" spans="1:5" hidden="1" x14ac:dyDescent="0.25"/>
    <row r="26" spans="1:5" x14ac:dyDescent="0.25">
      <c r="A26" t="s">
        <v>43</v>
      </c>
      <c r="B26" t="str">
        <f t="shared" ref="B26:B29" si="3">B21</f>
        <v>Reload /Free Love)</v>
      </c>
      <c r="C26" s="2">
        <v>6440</v>
      </c>
    </row>
    <row r="27" spans="1:5" x14ac:dyDescent="0.25">
      <c r="A27" t="s">
        <v>44</v>
      </c>
      <c r="B27" t="str">
        <f t="shared" si="3"/>
        <v>Reload /Free Love)</v>
      </c>
      <c r="C27" s="2">
        <v>3935</v>
      </c>
    </row>
    <row r="28" spans="1:5" x14ac:dyDescent="0.25">
      <c r="A28" t="s">
        <v>45</v>
      </c>
      <c r="B28" t="str">
        <f t="shared" si="3"/>
        <v>Reload /Free Love)</v>
      </c>
      <c r="C28" s="2">
        <v>8350</v>
      </c>
    </row>
    <row r="29" spans="1:5" x14ac:dyDescent="0.25">
      <c r="A29" t="s">
        <v>46</v>
      </c>
      <c r="B29" t="str">
        <f t="shared" si="3"/>
        <v>Reload /Free Love)</v>
      </c>
      <c r="C29" s="2">
        <v>8352</v>
      </c>
      <c r="E29" s="2"/>
    </row>
    <row r="30" spans="1:5" x14ac:dyDescent="0.25">
      <c r="C30" s="2">
        <v>0</v>
      </c>
    </row>
    <row r="31" spans="1:5" x14ac:dyDescent="0.25">
      <c r="B31" t="s">
        <v>25</v>
      </c>
      <c r="C31" s="2">
        <f>SUM(C6:C30)</f>
        <v>85641</v>
      </c>
    </row>
    <row r="32" spans="1:5" x14ac:dyDescent="0.25">
      <c r="C32" s="2"/>
    </row>
    <row r="33" spans="3:3" x14ac:dyDescent="0.25">
      <c r="C33" s="2"/>
    </row>
    <row r="34" spans="3:3" x14ac:dyDescent="0.25">
      <c r="C3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FD5C1B798C84CA3838A207A90ADD5" ma:contentTypeVersion="9" ma:contentTypeDescription="Create a new document." ma:contentTypeScope="" ma:versionID="ff30d993f3d82edec7aee329048a327a">
  <xsd:schema xmlns:xsd="http://www.w3.org/2001/XMLSchema" xmlns:xs="http://www.w3.org/2001/XMLSchema" xmlns:p="http://schemas.microsoft.com/office/2006/metadata/properties" xmlns:ns2="fbe9ffbb-cf59-4f57-bafe-1f3fdafa1546" xmlns:ns3="35dce523-ee1b-427e-aa32-bff0e797f0b2" targetNamespace="http://schemas.microsoft.com/office/2006/metadata/properties" ma:root="true" ma:fieldsID="7e28871a4ea8532b1430272d3c06416e" ns2:_="" ns3:_="">
    <xsd:import namespace="fbe9ffbb-cf59-4f57-bafe-1f3fdafa1546"/>
    <xsd:import namespace="35dce523-ee1b-427e-aa32-bff0e797f0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9ffbb-cf59-4f57-bafe-1f3fdafa15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47022f3-e617-4b96-bf9c-1eae929990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ce523-ee1b-427e-aa32-bff0e797f0b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4ea163-0414-49c4-927f-e2403f7231b6}" ma:internalName="TaxCatchAll" ma:showField="CatchAllData" ma:web="35dce523-ee1b-427e-aa32-bff0e797f0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dce523-ee1b-427e-aa32-bff0e797f0b2" xsi:nil="true"/>
    <lcf76f155ced4ddcb4097134ff3c332f xmlns="fbe9ffbb-cf59-4f57-bafe-1f3fdafa15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0DA207-5202-45A2-91E8-0A0F16370A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2462C7-D30D-4399-8429-DA5E534DF0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e9ffbb-cf59-4f57-bafe-1f3fdafa1546"/>
    <ds:schemaRef ds:uri="35dce523-ee1b-427e-aa32-bff0e797f0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019C09-1D94-4ED8-BE5E-9658EE380CC4}">
  <ds:schemaRefs>
    <ds:schemaRef ds:uri="http://schemas.microsoft.com/office/2006/metadata/properties"/>
    <ds:schemaRef ds:uri="http://schemas.microsoft.com/office/infopath/2007/PartnerControls"/>
    <ds:schemaRef ds:uri="35dce523-ee1b-427e-aa32-bff0e797f0b2"/>
    <ds:schemaRef ds:uri="fbe9ffbb-cf59-4f57-bafe-1f3fdafa15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Summering</vt:lpstr>
      <vt:lpstr>Blad1</vt:lpstr>
      <vt:lpstr>STIM</vt:lpstr>
      <vt:lpstr>BMG Rights</vt:lpstr>
      <vt:lpstr>Kobalt</vt:lpstr>
      <vt:lpstr>STIM!Print_Area</vt:lpstr>
      <vt:lpstr>Summering!Print_Area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Grahl</dc:creator>
  <cp:lastModifiedBy>Lukas Johnston</cp:lastModifiedBy>
  <dcterms:created xsi:type="dcterms:W3CDTF">2022-10-04T10:03:46Z</dcterms:created>
  <dcterms:modified xsi:type="dcterms:W3CDTF">2026-10-08T18:46:45Z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0x010100056FD5C1B798C84CA3838A207A90ADD5</vt:lpwstr>
  </property>
  <property fmtid="{D5CDD505-2E9C-101B-9397-08002B2CF9AE}" pid="3" name="MediaServiceImageTags">
    <vt:lpwstr/>
  </property>
</Properties>
</file>